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/>
  </mc:AlternateContent>
  <xr:revisionPtr revIDLastSave="0" documentId="8_{B351EAB9-A50D-114A-A678-BA25B86ABCC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Data" sheetId="1" r:id="rId1"/>
    <sheet name="Sheet Space" sheetId="2" r:id="rId2"/>
    <sheet name="Formulas" sheetId="3" r:id="rId3"/>
  </sheets>
  <definedNames>
    <definedName name="MyCell">Data!$B$2</definedName>
    <definedName name="MyName">Data!$A$1:$A$5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0" i="3" l="1"/>
  <c r="D119" i="3"/>
  <c r="D118" i="3"/>
  <c r="D106" i="3"/>
  <c r="D105" i="3"/>
  <c r="D104" i="3"/>
  <c r="D103" i="3"/>
  <c r="D102" i="3"/>
  <c r="D101" i="3"/>
  <c r="D100" i="3"/>
  <c r="D99" i="3"/>
  <c r="D98" i="3"/>
  <c r="D97" i="3"/>
  <c r="D96" i="3"/>
  <c r="D95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" i="3"/>
  <c r="D40" i="3" s="1"/>
  <c r="D63" i="3"/>
</calcChain>
</file>

<file path=xl/sharedStrings.xml><?xml version="1.0" encoding="utf-8"?>
<sst xmlns="http://schemas.openxmlformats.org/spreadsheetml/2006/main" count="93" uniqueCount="93">
  <si>
    <t>alpha</t>
  </si>
  <si>
    <t>beta</t>
  </si>
  <si>
    <t>A1+A2</t>
  </si>
  <si>
    <t>A1-A2</t>
  </si>
  <si>
    <t>A1*A2</t>
  </si>
  <si>
    <t>A1/A2</t>
  </si>
  <si>
    <t>A1^A2</t>
  </si>
  <si>
    <t>A1&amp;A2</t>
  </si>
  <si>
    <t>A1&lt;A2</t>
  </si>
  <si>
    <t>A1&lt;=A2</t>
  </si>
  <si>
    <t>A1=A2</t>
  </si>
  <si>
    <t>A1&gt;=A2</t>
  </si>
  <si>
    <t>A1&gt;A2</t>
  </si>
  <si>
    <t>A1&lt;&gt;A2</t>
  </si>
  <si>
    <t>-A1</t>
  </si>
  <si>
    <t>+A1</t>
  </si>
  <si>
    <t>A1%</t>
  </si>
  <si>
    <t>(A1+A2)*A3</t>
  </si>
  <si>
    <t>A1+A2*A3</t>
  </si>
  <si>
    <t>(A1+A2)/(A3-A4)</t>
  </si>
  <si>
    <t>1</t>
  </si>
  <si>
    <t>1.5</t>
  </si>
  <si>
    <t>-1.5</t>
  </si>
  <si>
    <t>1000000</t>
  </si>
  <si>
    <t>"hello"</t>
  </si>
  <si>
    <t>"quote""inside"</t>
  </si>
  <si>
    <t>TRUE</t>
  </si>
  <si>
    <t>FALSE</t>
  </si>
  <si>
    <t>A1</t>
  </si>
  <si>
    <t>$A$1</t>
  </si>
  <si>
    <t>$A1</t>
  </si>
  <si>
    <t>A$1</t>
  </si>
  <si>
    <t>A1:A5</t>
  </si>
  <si>
    <t>$A$1:$A$5</t>
  </si>
  <si>
    <t>A$1:$A5</t>
  </si>
  <si>
    <t>SUM(A1:A5)</t>
  </si>
  <si>
    <t>SUM($A$1:$A$5)</t>
  </si>
  <si>
    <t>SUM(A:A)</t>
  </si>
  <si>
    <t>SUM(1:1)</t>
  </si>
  <si>
    <t>SUM(A1:A3 A2:A5)</t>
  </si>
  <si>
    <t>SUM(A1:A2,A4:A5)</t>
  </si>
  <si>
    <t>SUM((A1:A2,A4:A5))</t>
  </si>
  <si>
    <t>SUM(A1:A5,A1)</t>
  </si>
  <si>
    <t>COUNT(A1:A5)</t>
  </si>
  <si>
    <t>MAX(A1:A5)</t>
  </si>
  <si>
    <t>MIN(A1:A5)</t>
  </si>
  <si>
    <t>ROUND(A1/A2,2)</t>
  </si>
  <si>
    <t>ABS(-A1)</t>
  </si>
  <si>
    <t>IF(A1&gt;1,"yes","no")</t>
  </si>
  <si>
    <t>IF(A1&gt;1,SUM(A1:A2),MAX(A1:A2))</t>
  </si>
  <si>
    <t>IFERROR(A1/0,0)</t>
  </si>
  <si>
    <t>IFERROR(-MAX(SUM(A1:A5),0)*A2,"")</t>
  </si>
  <si>
    <t>SUMPRODUCT(A1:A5,A1:A5)</t>
  </si>
  <si>
    <t>COUNTIF(A1:A5,"&gt;2")</t>
  </si>
  <si>
    <t>SUMIF(A1:A5,"&gt;2",A1:A5)</t>
  </si>
  <si>
    <t>VLOOKUP(1,A1:B5,2,FALSE)</t>
  </si>
  <si>
    <t>INDEX(A1:A5,2)</t>
  </si>
  <si>
    <t>INDEX(A1:B5,2,2)</t>
  </si>
  <si>
    <t>MATCH(3,A1:A5,0)</t>
  </si>
  <si>
    <t>OFFSET(A1,1,1)</t>
  </si>
  <si>
    <t>OFFSET(A1,1,1,2,2)</t>
  </si>
  <si>
    <t>INDIRECT("A1")</t>
  </si>
  <si>
    <t>TEXT(A1,"0.00")</t>
  </si>
  <si>
    <t>NOW()</t>
  </si>
  <si>
    <t>TODAY()</t>
  </si>
  <si>
    <t>NA()</t>
  </si>
  <si>
    <t>PI()</t>
  </si>
  <si>
    <t>NPV(0.1,A1:A5)</t>
  </si>
  <si>
    <t>IRR(A1:A5)</t>
  </si>
  <si>
    <t>PMT(0.1,10,100)</t>
  </si>
  <si>
    <t>CONCATENATE(A1,"x",A2)</t>
  </si>
  <si>
    <t>LEFT("abc",2)</t>
  </si>
  <si>
    <t>ROUND(SUM(A1:A5)/COUNT(A1:A5),4)</t>
  </si>
  <si>
    <t>SUM({1,2,3})</t>
  </si>
  <si>
    <t>SUM({1,2;3,4})</t>
  </si>
  <si>
    <t>SUM({1,"a";TRUE,FALSE})</t>
  </si>
  <si>
    <t>Data!A1</t>
  </si>
  <si>
    <t>Data!$A$1</t>
  </si>
  <si>
    <t>SUM(Data!A1:A5)</t>
  </si>
  <si>
    <t>SUM(Data!A1:A5)+A1</t>
  </si>
  <si>
    <t>'Sheet Space'!A1</t>
  </si>
  <si>
    <t>SUM('Sheet Space'!A1:A5)</t>
  </si>
  <si>
    <t>SUM(Data:Data!A1)</t>
  </si>
  <si>
    <t>MyName</t>
  </si>
  <si>
    <t>SUM(MyName)</t>
  </si>
  <si>
    <t>MyName+A1</t>
  </si>
  <si>
    <t>MyCell</t>
  </si>
  <si>
    <t>SUM(A1:A5)*2%</t>
  </si>
  <si>
    <t>IF(TRUE,1,2)</t>
  </si>
  <si>
    <t>N(A1)</t>
  </si>
  <si>
    <t>T(A1)</t>
  </si>
  <si>
    <t>Qty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</si>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</sst>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yTable" displayName="MyTable" ref="H110:I115">
  <autoFilter ref="H110:I115" xr:uid="{00000000-0009-0000-0100-000001000000}"/>
  <tableColumns count="2">
    <tableColumn id="8" xr3:uid="{00000000-0010-0000-0000-000008000000}" name="Qty"/>
    <tableColumn id="9" xr3:uid="{00000000-0010-0000-0000-000009000000}" name="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10</v>
      </c>
      <c r="D1" t="s">
        <v>0</v>
      </c>
    </row>
    <row r="2" spans="1:4" x14ac:dyDescent="0.2">
      <c r="A2">
        <v>2</v>
      </c>
      <c r="B2">
        <v>20</v>
      </c>
      <c r="D2" t="s">
        <v>1</v>
      </c>
    </row>
    <row r="3" spans="1:4" x14ac:dyDescent="0.2">
      <c r="A3">
        <v>3</v>
      </c>
      <c r="B3">
        <v>30</v>
      </c>
    </row>
    <row r="4" spans="1:4" x14ac:dyDescent="0.2">
      <c r="A4">
        <v>4</v>
      </c>
      <c r="B4">
        <v>40</v>
      </c>
    </row>
    <row r="5" spans="1:4" x14ac:dyDescent="0.2">
      <c r="A5">
        <v>5</v>
      </c>
      <c r="B5">
        <v>50</v>
      </c>
    </row>
    <row r="6" spans="1:4" x14ac:dyDescent="0.2">
      <c r="A6">
        <v>6</v>
      </c>
      <c r="B6">
        <v>60</v>
      </c>
    </row>
    <row r="7" spans="1:4" x14ac:dyDescent="0.2">
      <c r="A7">
        <v>7</v>
      </c>
      <c r="B7">
        <v>70</v>
      </c>
    </row>
    <row r="8" spans="1:4" x14ac:dyDescent="0.2">
      <c r="A8">
        <v>8</v>
      </c>
      <c r="B8">
        <v>80</v>
      </c>
    </row>
    <row r="9" spans="1:4" x14ac:dyDescent="0.2">
      <c r="A9">
        <v>9</v>
      </c>
      <c r="B9">
        <v>90</v>
      </c>
    </row>
    <row r="10" spans="1:4" x14ac:dyDescent="0.2">
      <c r="A10">
        <v>10</v>
      </c>
      <c r="B10">
        <v>100</v>
      </c>
    </row>
    <row r="11" spans="1:4" x14ac:dyDescent="0.2">
      <c r="A11">
        <v>11</v>
      </c>
      <c r="B11">
        <v>110</v>
      </c>
    </row>
    <row r="12" spans="1:4" x14ac:dyDescent="0.2">
      <c r="A12">
        <v>12</v>
      </c>
      <c r="B12">
        <v>120</v>
      </c>
    </row>
    <row r="13" spans="1:4" x14ac:dyDescent="0.2">
      <c r="A13">
        <v>13</v>
      </c>
      <c r="B13">
        <v>130</v>
      </c>
    </row>
    <row r="14" spans="1:4" x14ac:dyDescent="0.2">
      <c r="A14">
        <v>14</v>
      </c>
      <c r="B14">
        <v>140</v>
      </c>
    </row>
    <row r="15" spans="1:4" x14ac:dyDescent="0.2">
      <c r="A15">
        <v>15</v>
      </c>
      <c r="B15">
        <v>150</v>
      </c>
    </row>
    <row r="16" spans="1:4" x14ac:dyDescent="0.2">
      <c r="A16">
        <v>16</v>
      </c>
      <c r="B16">
        <v>160</v>
      </c>
    </row>
    <row r="17" spans="1:2" x14ac:dyDescent="0.2">
      <c r="A17">
        <v>17</v>
      </c>
      <c r="B17">
        <v>170</v>
      </c>
    </row>
    <row r="18" spans="1:2" x14ac:dyDescent="0.2">
      <c r="A18">
        <v>18</v>
      </c>
      <c r="B18">
        <v>180</v>
      </c>
    </row>
    <row r="19" spans="1:2" x14ac:dyDescent="0.2">
      <c r="A19">
        <v>19</v>
      </c>
      <c r="B19">
        <v>190</v>
      </c>
    </row>
    <row r="20" spans="1:2" x14ac:dyDescent="0.2">
      <c r="A20">
        <v>20</v>
      </c>
      <c r="B20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sheetData>
    <row r="1" spans="1:1" x14ac:dyDescent="0.2">
      <c r="A1">
        <v>100</v>
      </c>
    </row>
    <row r="2" spans="1:1" x14ac:dyDescent="0.2">
      <c r="A2">
        <v>200</v>
      </c>
    </row>
    <row r="3" spans="1:1" x14ac:dyDescent="0.2">
      <c r="A3">
        <v>300</v>
      </c>
    </row>
    <row r="4" spans="1:1" x14ac:dyDescent="0.2">
      <c r="A4">
        <v>400</v>
      </c>
    </row>
    <row r="5" spans="1:1" x14ac:dyDescent="0.2">
      <c r="A5">
        <v>500</v>
      </c>
    </row>
    <row r="6" spans="1:1" x14ac:dyDescent="0.2">
      <c r="A6">
        <v>600</v>
      </c>
    </row>
    <row r="7" spans="1:1" x14ac:dyDescent="0.2">
      <c r="A7">
        <v>700</v>
      </c>
    </row>
    <row r="8" spans="1:1" x14ac:dyDescent="0.2">
      <c r="A8">
        <v>800</v>
      </c>
    </row>
    <row r="9" spans="1:1" x14ac:dyDescent="0.2">
      <c r="A9">
        <v>900</v>
      </c>
    </row>
    <row r="10" spans="1:1" x14ac:dyDescent="0.2">
      <c r="A10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0"/>
  <sheetViews>
    <sheetView workbookViewId="0"/>
  </sheetViews>
  <sheetFormatPr baseColWidth="10" defaultColWidth="8.83203125" defaultRowHeight="15" x14ac:dyDescent="0.2"/>
  <sheetData>
    <row r="1" spans="1:5" x14ac:dyDescent="0.2">
      <c r="A1">
        <v>1</v>
      </c>
      <c r="B1">
        <v>3</v>
      </c>
      <c r="D1">
        <f>A1+A2</f>
        <v>3</v>
      </c>
      <c r="E1" t="s">
        <v>2</v>
      </c>
    </row>
    <row r="2" spans="1:5" x14ac:dyDescent="0.2">
      <c r="A2">
        <v>2</v>
      </c>
      <c r="B2">
        <v>6</v>
      </c>
      <c r="D2">
        <f>A1-A2</f>
        <v>-1</v>
      </c>
      <c r="E2" t="s">
        <v>3</v>
      </c>
    </row>
    <row r="3" spans="1:5" x14ac:dyDescent="0.2">
      <c r="A3">
        <v>3</v>
      </c>
      <c r="B3">
        <v>9</v>
      </c>
      <c r="D3">
        <f>A1*A2</f>
        <v>2</v>
      </c>
      <c r="E3" t="s">
        <v>4</v>
      </c>
    </row>
    <row r="4" spans="1:5" x14ac:dyDescent="0.2">
      <c r="A4">
        <v>4</v>
      </c>
      <c r="B4">
        <v>12</v>
      </c>
      <c r="D4">
        <f>A1/A2</f>
        <v>0.5</v>
      </c>
      <c r="E4" t="s">
        <v>5</v>
      </c>
    </row>
    <row r="5" spans="1:5" x14ac:dyDescent="0.2">
      <c r="A5">
        <v>5</v>
      </c>
      <c r="B5">
        <v>15</v>
      </c>
      <c r="D5">
        <f>A1^A2</f>
        <v>1</v>
      </c>
      <c r="E5" t="s">
        <v>6</v>
      </c>
    </row>
    <row r="6" spans="1:5" x14ac:dyDescent="0.2">
      <c r="A6">
        <v>6</v>
      </c>
      <c r="B6">
        <v>18</v>
      </c>
      <c r="D6" t="str">
        <f>A1&amp;A2</f>
        <v>12</v>
      </c>
      <c r="E6" t="s">
        <v>7</v>
      </c>
    </row>
    <row r="7" spans="1:5" x14ac:dyDescent="0.2">
      <c r="A7">
        <v>7</v>
      </c>
      <c r="B7">
        <v>21</v>
      </c>
      <c r="D7" t="b">
        <f>A1&lt;A2</f>
        <v>1</v>
      </c>
      <c r="E7" t="s">
        <v>8</v>
      </c>
    </row>
    <row r="8" spans="1:5" x14ac:dyDescent="0.2">
      <c r="A8">
        <v>8</v>
      </c>
      <c r="B8">
        <v>24</v>
      </c>
      <c r="D8" t="b">
        <f>A1&lt;=A2</f>
        <v>1</v>
      </c>
      <c r="E8" t="s">
        <v>9</v>
      </c>
    </row>
    <row r="9" spans="1:5" x14ac:dyDescent="0.2">
      <c r="A9">
        <v>9</v>
      </c>
      <c r="B9">
        <v>27</v>
      </c>
      <c r="D9" t="b">
        <f>A1=A2</f>
        <v>0</v>
      </c>
      <c r="E9" t="s">
        <v>10</v>
      </c>
    </row>
    <row r="10" spans="1:5" x14ac:dyDescent="0.2">
      <c r="A10">
        <v>10</v>
      </c>
      <c r="B10">
        <v>30</v>
      </c>
      <c r="D10" t="b">
        <f>A1&gt;=A2</f>
        <v>0</v>
      </c>
      <c r="E10" t="s">
        <v>11</v>
      </c>
    </row>
    <row r="11" spans="1:5" x14ac:dyDescent="0.2">
      <c r="A11">
        <v>11</v>
      </c>
      <c r="B11">
        <v>33</v>
      </c>
      <c r="D11" t="b">
        <f>A1&gt;A2</f>
        <v>0</v>
      </c>
      <c r="E11" t="s">
        <v>12</v>
      </c>
    </row>
    <row r="12" spans="1:5" x14ac:dyDescent="0.2">
      <c r="A12">
        <v>12</v>
      </c>
      <c r="B12">
        <v>36</v>
      </c>
      <c r="D12" t="b">
        <f>A1&lt;&gt;A2</f>
        <v>1</v>
      </c>
      <c r="E12" t="s">
        <v>13</v>
      </c>
    </row>
    <row r="13" spans="1:5" x14ac:dyDescent="0.2">
      <c r="A13">
        <v>13</v>
      </c>
      <c r="B13">
        <v>39</v>
      </c>
      <c r="D13">
        <f>-A1</f>
        <v>-1</v>
      </c>
      <c r="E13" t="s">
        <v>14</v>
      </c>
    </row>
    <row r="14" spans="1:5" x14ac:dyDescent="0.2">
      <c r="A14">
        <v>14</v>
      </c>
      <c r="B14">
        <v>42</v>
      </c>
      <c r="D14">
        <f>+A1</f>
        <v>1</v>
      </c>
      <c r="E14" t="s">
        <v>15</v>
      </c>
    </row>
    <row r="15" spans="1:5" x14ac:dyDescent="0.2">
      <c r="A15">
        <v>15</v>
      </c>
      <c r="B15">
        <v>45</v>
      </c>
      <c r="D15">
        <f>A1%</f>
        <v>0.01</v>
      </c>
      <c r="E15" t="s">
        <v>16</v>
      </c>
    </row>
    <row r="16" spans="1:5" x14ac:dyDescent="0.2">
      <c r="A16">
        <v>16</v>
      </c>
      <c r="B16">
        <v>48</v>
      </c>
      <c r="D16">
        <f>(A1+A2)*A3</f>
        <v>9</v>
      </c>
      <c r="E16" t="s">
        <v>17</v>
      </c>
    </row>
    <row r="17" spans="1:5" x14ac:dyDescent="0.2">
      <c r="A17">
        <v>17</v>
      </c>
      <c r="B17">
        <v>51</v>
      </c>
      <c r="D17">
        <f>A1+A2*A3</f>
        <v>7</v>
      </c>
      <c r="E17" t="s">
        <v>18</v>
      </c>
    </row>
    <row r="18" spans="1:5" x14ac:dyDescent="0.2">
      <c r="A18">
        <v>18</v>
      </c>
      <c r="B18">
        <v>54</v>
      </c>
      <c r="D18">
        <f>(A1+A2)/(A3-A4)</f>
        <v>-3</v>
      </c>
      <c r="E18" t="s">
        <v>19</v>
      </c>
    </row>
    <row r="19" spans="1:5" x14ac:dyDescent="0.2">
      <c r="A19">
        <v>19</v>
      </c>
      <c r="B19">
        <v>57</v>
      </c>
      <c r="D19">
        <f>1</f>
        <v>1</v>
      </c>
      <c r="E19" t="s">
        <v>20</v>
      </c>
    </row>
    <row r="20" spans="1:5" x14ac:dyDescent="0.2">
      <c r="A20">
        <v>20</v>
      </c>
      <c r="B20">
        <v>60</v>
      </c>
      <c r="D20">
        <f>1.5</f>
        <v>1.5</v>
      </c>
      <c r="E20" t="s">
        <v>21</v>
      </c>
    </row>
    <row r="21" spans="1:5" x14ac:dyDescent="0.2">
      <c r="D21">
        <f>-1.5</f>
        <v>-1.5</v>
      </c>
      <c r="E21" t="s">
        <v>22</v>
      </c>
    </row>
    <row r="22" spans="1:5" x14ac:dyDescent="0.2">
      <c r="D22">
        <f>1000000</f>
        <v>1000000</v>
      </c>
      <c r="E22" t="s">
        <v>23</v>
      </c>
    </row>
    <row r="23" spans="1:5" x14ac:dyDescent="0.2">
      <c r="D23" t="str">
        <f>"hello"</f>
        <v>hello</v>
      </c>
      <c r="E23" t="s">
        <v>24</v>
      </c>
    </row>
    <row r="24" spans="1:5" x14ac:dyDescent="0.2">
      <c r="D24" t="str">
        <f>"quote""inside"</f>
        <v>quote"inside</v>
      </c>
      <c r="E24" t="s">
        <v>25</v>
      </c>
    </row>
    <row r="25" spans="1:5" x14ac:dyDescent="0.2">
      <c r="D25" t="b">
        <f>TRUE</f>
        <v>1</v>
      </c>
      <c r="E25" t="s">
        <v>26</v>
      </c>
    </row>
    <row r="26" spans="1:5" x14ac:dyDescent="0.2">
      <c r="D26" t="b">
        <f>FALSE</f>
        <v>0</v>
      </c>
      <c r="E26" t="s">
        <v>27</v>
      </c>
    </row>
    <row r="27" spans="1:5" x14ac:dyDescent="0.2">
      <c r="D27" t="e">
        <f>#REF!</f>
        <v>#REF!</v>
      </c>
      <c r="E27" t="e">
        <v>#REF!</v>
      </c>
    </row>
    <row r="28" spans="1:5" x14ac:dyDescent="0.2">
      <c r="D28" t="e">
        <f>#DIV/0!</f>
        <v>#DIV/0!</v>
      </c>
      <c r="E28" t="e">
        <v>#DIV/0!</v>
      </c>
    </row>
    <row r="29" spans="1:5" x14ac:dyDescent="0.2">
      <c r="D29" t="e">
        <f>#N/A</f>
        <v>#N/A</v>
      </c>
      <c r="E29" t="e">
        <v>#N/A</v>
      </c>
    </row>
    <row r="30" spans="1:5" x14ac:dyDescent="0.2">
      <c r="D30">
        <f>A1</f>
        <v>1</v>
      </c>
      <c r="E30" t="s">
        <v>28</v>
      </c>
    </row>
    <row r="31" spans="1:5" x14ac:dyDescent="0.2">
      <c r="D31">
        <f>$A$1</f>
        <v>1</v>
      </c>
      <c r="E31" t="s">
        <v>29</v>
      </c>
    </row>
    <row r="32" spans="1:5" x14ac:dyDescent="0.2">
      <c r="D32">
        <f>$A1</f>
        <v>1</v>
      </c>
      <c r="E32" t="s">
        <v>30</v>
      </c>
    </row>
    <row r="33" spans="4:5" x14ac:dyDescent="0.2">
      <c r="D33">
        <f>A$1</f>
        <v>1</v>
      </c>
      <c r="E33" t="s">
        <v>31</v>
      </c>
    </row>
    <row r="34" spans="4:5" x14ac:dyDescent="0.2">
      <c r="D34" t="e">
        <f>A1:A5</f>
        <v>#VALUE!</v>
      </c>
      <c r="E34" t="s">
        <v>32</v>
      </c>
    </row>
    <row r="35" spans="4:5" x14ac:dyDescent="0.2">
      <c r="D35" t="e">
        <f>$A$1:$A$5</f>
        <v>#VALUE!</v>
      </c>
      <c r="E35" t="s">
        <v>33</v>
      </c>
    </row>
    <row r="36" spans="4:5" x14ac:dyDescent="0.2">
      <c r="D36" t="e">
        <f>A$1:$A5</f>
        <v>#VALUE!</v>
      </c>
      <c r="E36" t="s">
        <v>34</v>
      </c>
    </row>
    <row r="37" spans="4:5" x14ac:dyDescent="0.2">
      <c r="D37">
        <f>SUM(A1:A5)</f>
        <v>15</v>
      </c>
      <c r="E37" t="s">
        <v>35</v>
      </c>
    </row>
    <row r="38" spans="4:5" x14ac:dyDescent="0.2">
      <c r="D38">
        <f>SUM($A$1:$A$5)</f>
        <v>15</v>
      </c>
      <c r="E38" t="s">
        <v>36</v>
      </c>
    </row>
    <row r="39" spans="4:5" x14ac:dyDescent="0.2">
      <c r="D39">
        <f>SUM(A:A)</f>
        <v>210</v>
      </c>
      <c r="E39" t="s">
        <v>37</v>
      </c>
    </row>
    <row r="40" spans="4:5" x14ac:dyDescent="0.2">
      <c r="D40">
        <f>SUM(1:1)</f>
        <v>7</v>
      </c>
      <c r="E40" t="s">
        <v>38</v>
      </c>
    </row>
    <row r="41" spans="4:5" x14ac:dyDescent="0.2">
      <c r="D41">
        <f>SUM(A1:A3 A2:A5)</f>
        <v>5</v>
      </c>
      <c r="E41" t="s">
        <v>39</v>
      </c>
    </row>
    <row r="42" spans="4:5" x14ac:dyDescent="0.2">
      <c r="D42">
        <f>SUM(A1:A2,A4:A5)</f>
        <v>12</v>
      </c>
      <c r="E42" t="s">
        <v>40</v>
      </c>
    </row>
    <row r="43" spans="4:5" x14ac:dyDescent="0.2">
      <c r="D43">
        <f>SUM((A1:A2,A4:A5))</f>
        <v>12</v>
      </c>
      <c r="E43" t="s">
        <v>41</v>
      </c>
    </row>
    <row r="44" spans="4:5" x14ac:dyDescent="0.2">
      <c r="D44">
        <f>SUM(A1:A5,A1)</f>
        <v>16</v>
      </c>
      <c r="E44" t="s">
        <v>42</v>
      </c>
    </row>
    <row r="45" spans="4:5" x14ac:dyDescent="0.2">
      <c r="D45">
        <f>COUNT(A1:A5)</f>
        <v>5</v>
      </c>
      <c r="E45" t="s">
        <v>43</v>
      </c>
    </row>
    <row r="46" spans="4:5" x14ac:dyDescent="0.2">
      <c r="D46">
        <f>MAX(A1:A5)</f>
        <v>5</v>
      </c>
      <c r="E46" t="s">
        <v>44</v>
      </c>
    </row>
    <row r="47" spans="4:5" x14ac:dyDescent="0.2">
      <c r="D47">
        <f>MIN(A1:A5)</f>
        <v>1</v>
      </c>
      <c r="E47" t="s">
        <v>45</v>
      </c>
    </row>
    <row r="48" spans="4:5" x14ac:dyDescent="0.2">
      <c r="D48">
        <f>ROUND(A1/A2,2)</f>
        <v>0.5</v>
      </c>
      <c r="E48" t="s">
        <v>46</v>
      </c>
    </row>
    <row r="49" spans="4:5" x14ac:dyDescent="0.2">
      <c r="D49">
        <f>ABS(-A1)</f>
        <v>1</v>
      </c>
      <c r="E49" t="s">
        <v>47</v>
      </c>
    </row>
    <row r="50" spans="4:5" x14ac:dyDescent="0.2">
      <c r="D50" t="str">
        <f>IF(A1&gt;1,"yes","no")</f>
        <v>no</v>
      </c>
      <c r="E50" t="s">
        <v>48</v>
      </c>
    </row>
    <row r="51" spans="4:5" x14ac:dyDescent="0.2">
      <c r="D51">
        <f>IF(A1&gt;1,SUM(A1:A2),MAX(A1:A2))</f>
        <v>2</v>
      </c>
      <c r="E51" t="s">
        <v>49</v>
      </c>
    </row>
    <row r="52" spans="4:5" x14ac:dyDescent="0.2">
      <c r="D52">
        <f>IFERROR(A1/0,0)</f>
        <v>0</v>
      </c>
      <c r="E52" t="s">
        <v>50</v>
      </c>
    </row>
    <row r="53" spans="4:5" x14ac:dyDescent="0.2">
      <c r="D53">
        <f>IFERROR(-MAX(SUM(A1:A5),0)*A2,"")</f>
        <v>-30</v>
      </c>
      <c r="E53" t="s">
        <v>51</v>
      </c>
    </row>
    <row r="54" spans="4:5" x14ac:dyDescent="0.2">
      <c r="D54">
        <f>SUMPRODUCT(A1:A5,A1:A5)</f>
        <v>55</v>
      </c>
      <c r="E54" t="s">
        <v>52</v>
      </c>
    </row>
    <row r="55" spans="4:5" x14ac:dyDescent="0.2">
      <c r="D55">
        <f>COUNTIF(A1:A5,"&gt;2")</f>
        <v>3</v>
      </c>
      <c r="E55" t="s">
        <v>53</v>
      </c>
    </row>
    <row r="56" spans="4:5" x14ac:dyDescent="0.2">
      <c r="D56">
        <f>SUMIF(A1:A5,"&gt;2",A1:A5)</f>
        <v>12</v>
      </c>
      <c r="E56" t="s">
        <v>54</v>
      </c>
    </row>
    <row r="57" spans="4:5" x14ac:dyDescent="0.2">
      <c r="D57">
        <f>VLOOKUP(1,A1:B5,2,FALSE)</f>
        <v>3</v>
      </c>
      <c r="E57" t="s">
        <v>55</v>
      </c>
    </row>
    <row r="58" spans="4:5" x14ac:dyDescent="0.2">
      <c r="D58">
        <f>INDEX(A1:A5,2)</f>
        <v>2</v>
      </c>
      <c r="E58" t="s">
        <v>56</v>
      </c>
    </row>
    <row r="59" spans="4:5" x14ac:dyDescent="0.2">
      <c r="D59">
        <f>INDEX(A1:B5,2,2)</f>
        <v>6</v>
      </c>
      <c r="E59" t="s">
        <v>57</v>
      </c>
    </row>
    <row r="60" spans="4:5" x14ac:dyDescent="0.2">
      <c r="D60">
        <f>MATCH(3,A1:A5,0)</f>
        <v>3</v>
      </c>
      <c r="E60" t="s">
        <v>58</v>
      </c>
    </row>
    <row r="61" spans="4:5" x14ac:dyDescent="0.2">
      <c r="D61">
        <f ca="1">OFFSET(A1,1,1)</f>
        <v>6</v>
      </c>
      <c r="E61" t="s">
        <v>59</v>
      </c>
    </row>
    <row r="62" spans="4:5" x14ac:dyDescent="0.2">
      <c r="D62" t="e">
        <f ca="1">OFFSET(A1,1,1,2,2)</f>
        <v>#VALUE!</v>
      </c>
      <c r="E62" t="s">
        <v>60</v>
      </c>
    </row>
    <row r="63" spans="4:5" x14ac:dyDescent="0.2">
      <c r="D63">
        <f ca="1">INDIRECT("A1")</f>
        <v>1</v>
      </c>
      <c r="E63" t="s">
        <v>61</v>
      </c>
    </row>
    <row r="64" spans="4:5" x14ac:dyDescent="0.2">
      <c r="D64" t="str">
        <f>TEXT(A1,"0.00")</f>
        <v>1.00</v>
      </c>
      <c r="E64" t="s">
        <v>62</v>
      </c>
    </row>
    <row r="65" spans="4:5" x14ac:dyDescent="0.2">
      <c r="D65">
        <f ca="1">NOW()</f>
        <v>46245.925636805558</v>
      </c>
      <c r="E65" t="s">
        <v>63</v>
      </c>
    </row>
    <row r="66" spans="4:5" x14ac:dyDescent="0.2">
      <c r="D66">
        <f ca="1">TODAY()</f>
        <v>46245</v>
      </c>
      <c r="E66" t="s">
        <v>64</v>
      </c>
    </row>
    <row r="67" spans="4:5" x14ac:dyDescent="0.2">
      <c r="D67" t="e">
        <f>NA()</f>
        <v>#N/A</v>
      </c>
      <c r="E67" t="s">
        <v>65</v>
      </c>
    </row>
    <row r="68" spans="4:5" x14ac:dyDescent="0.2">
      <c r="D68">
        <f>PI()</f>
        <v>3.1415926535897931</v>
      </c>
      <c r="E68" t="s">
        <v>66</v>
      </c>
    </row>
    <row r="69" spans="4:5" x14ac:dyDescent="0.2">
      <c r="D69">
        <f>NPV(0.1,A1:A5)</f>
        <v>10.652588310535169</v>
      </c>
      <c r="E69" t="s">
        <v>67</v>
      </c>
    </row>
    <row r="70" spans="4:5" x14ac:dyDescent="0.2">
      <c r="D70" t="e">
        <f>IRR(A1:A5)</f>
        <v>#NUM!</v>
      </c>
      <c r="E70" t="s">
        <v>68</v>
      </c>
    </row>
    <row r="71" spans="4:5" x14ac:dyDescent="0.2">
      <c r="D71">
        <f>PMT(0.1,10,100)</f>
        <v>-16.274539488251161</v>
      </c>
      <c r="E71" t="s">
        <v>69</v>
      </c>
    </row>
    <row r="72" spans="4:5" x14ac:dyDescent="0.2">
      <c r="D72" t="str">
        <f>CONCATENATE(A1,"x",A2)</f>
        <v>1x2</v>
      </c>
      <c r="E72" t="s">
        <v>70</v>
      </c>
    </row>
    <row r="73" spans="4:5" x14ac:dyDescent="0.2">
      <c r="D73" t="str">
        <f>LEFT("abc",2)</f>
        <v>ab</v>
      </c>
      <c r="E73" t="s">
        <v>71</v>
      </c>
    </row>
    <row r="74" spans="4:5" x14ac:dyDescent="0.2">
      <c r="D74">
        <f>ROUND(SUM(A1:A5)/COUNT(A1:A5),4)</f>
        <v>3</v>
      </c>
      <c r="E74" t="s">
        <v>72</v>
      </c>
    </row>
    <row r="75" spans="4:5" x14ac:dyDescent="0.2">
      <c r="D75">
        <f>SUM({1,2,3})</f>
        <v>6</v>
      </c>
      <c r="E75" t="s">
        <v>73</v>
      </c>
    </row>
    <row r="76" spans="4:5" x14ac:dyDescent="0.2">
      <c r="D76">
        <f>SUM({1,2;3,4})</f>
        <v>10</v>
      </c>
      <c r="E76" t="s">
        <v>74</v>
      </c>
    </row>
    <row r="77" spans="4:5" x14ac:dyDescent="0.2">
      <c r="D77">
        <f>SUM({1,"a";TRUE,FALSE})</f>
        <v>1</v>
      </c>
      <c r="E77" t="s">
        <v>75</v>
      </c>
    </row>
    <row r="78" spans="4:5" x14ac:dyDescent="0.2">
      <c r="D78">
        <f>Data!A1</f>
        <v>1</v>
      </c>
      <c r="E78" t="s">
        <v>76</v>
      </c>
    </row>
    <row r="79" spans="4:5" x14ac:dyDescent="0.2">
      <c r="D79">
        <f>Data!$A$1</f>
        <v>1</v>
      </c>
      <c r="E79" t="s">
        <v>77</v>
      </c>
    </row>
    <row r="80" spans="4:5" x14ac:dyDescent="0.2">
      <c r="D80">
        <f>SUM(Data!A1:A5)</f>
        <v>15</v>
      </c>
      <c r="E80" t="s">
        <v>78</v>
      </c>
    </row>
    <row r="81" spans="4:5" x14ac:dyDescent="0.2">
      <c r="D81">
        <f>SUM(Data!A1:A5)+A1</f>
        <v>16</v>
      </c>
      <c r="E81" t="s">
        <v>79</v>
      </c>
    </row>
    <row r="82" spans="4:5" x14ac:dyDescent="0.2">
      <c r="D82">
        <f>'Sheet Space'!A1</f>
        <v>100</v>
      </c>
      <c r="E82" t="s">
        <v>80</v>
      </c>
    </row>
    <row r="83" spans="4:5" x14ac:dyDescent="0.2">
      <c r="D83">
        <f>SUM('Sheet Space'!A1:A5)</f>
        <v>1500</v>
      </c>
      <c r="E83" t="s">
        <v>81</v>
      </c>
    </row>
    <row r="84" spans="4:5" x14ac:dyDescent="0.2">
      <c r="D84">
        <f>SUM(Data!A1)</f>
        <v>1</v>
      </c>
      <c r="E84" t="s">
        <v>82</v>
      </c>
    </row>
    <row r="85" spans="4:5" x14ac:dyDescent="0.2">
      <c r="D85" t="e">
        <f>MyName</f>
        <v>#VALUE!</v>
      </c>
      <c r="E85" t="s">
        <v>83</v>
      </c>
    </row>
    <row r="86" spans="4:5" x14ac:dyDescent="0.2">
      <c r="D86">
        <f>SUM(MyName)</f>
        <v>15</v>
      </c>
      <c r="E86" t="s">
        <v>84</v>
      </c>
    </row>
    <row r="87" spans="4:5" x14ac:dyDescent="0.2">
      <c r="D87" t="e">
        <f>MyName+A1</f>
        <v>#VALUE!</v>
      </c>
      <c r="E87" t="s">
        <v>85</v>
      </c>
    </row>
    <row r="88" spans="4:5" x14ac:dyDescent="0.2">
      <c r="D88">
        <f>MyCell</f>
        <v>20</v>
      </c>
      <c r="E88" t="s">
        <v>86</v>
      </c>
    </row>
    <row r="89" spans="4:5" x14ac:dyDescent="0.2">
      <c r="D89">
        <f>SUM(A1:A5)*2%</f>
        <v>0.3</v>
      </c>
      <c r="E89" t="s">
        <v>87</v>
      </c>
    </row>
    <row r="90" spans="4:5" x14ac:dyDescent="0.2">
      <c r="D90">
        <f>IF(TRUE,1,2)</f>
        <v>1</v>
      </c>
      <c r="E90" t="s">
        <v>88</v>
      </c>
    </row>
    <row r="91" spans="4:5" x14ac:dyDescent="0.2">
      <c r="D91">
        <f>N(A1)</f>
        <v>1</v>
      </c>
      <c r="E91" t="s">
        <v>89</v>
      </c>
    </row>
    <row r="92" spans="4:5" x14ac:dyDescent="0.2">
      <c r="D92" t="str">
        <f>T(A1)</f>
        <v/>
      </c>
      <c r="E92" t="s">
        <v>90</v>
      </c>
    </row>
    <row r="95" spans="4:5" x14ac:dyDescent="0.2">
      <c r="D95">
        <f t="shared" ref="D95:D106" si="0">A1*2+B1</f>
        <v>5</v>
      </c>
    </row>
    <row r="96" spans="4:5" x14ac:dyDescent="0.2">
      <c r="D96">
        <f t="shared" si="0"/>
        <v>10</v>
      </c>
    </row>
    <row r="97" spans="4:9" x14ac:dyDescent="0.2">
      <c r="D97">
        <f t="shared" si="0"/>
        <v>15</v>
      </c>
    </row>
    <row r="98" spans="4:9" x14ac:dyDescent="0.2">
      <c r="D98">
        <f t="shared" si="0"/>
        <v>20</v>
      </c>
    </row>
    <row r="99" spans="4:9" x14ac:dyDescent="0.2">
      <c r="D99">
        <f t="shared" si="0"/>
        <v>25</v>
      </c>
    </row>
    <row r="100" spans="4:9" x14ac:dyDescent="0.2">
      <c r="D100">
        <f t="shared" si="0"/>
        <v>30</v>
      </c>
    </row>
    <row r="101" spans="4:9" x14ac:dyDescent="0.2">
      <c r="D101">
        <f t="shared" si="0"/>
        <v>35</v>
      </c>
    </row>
    <row r="102" spans="4:9" x14ac:dyDescent="0.2">
      <c r="D102">
        <f t="shared" si="0"/>
        <v>40</v>
      </c>
    </row>
    <row r="103" spans="4:9" x14ac:dyDescent="0.2">
      <c r="D103">
        <f t="shared" si="0"/>
        <v>45</v>
      </c>
    </row>
    <row r="104" spans="4:9" x14ac:dyDescent="0.2">
      <c r="D104">
        <f t="shared" si="0"/>
        <v>50</v>
      </c>
    </row>
    <row r="105" spans="4:9" x14ac:dyDescent="0.2">
      <c r="D105">
        <f t="shared" si="0"/>
        <v>55</v>
      </c>
    </row>
    <row r="106" spans="4:9" x14ac:dyDescent="0.2">
      <c r="D106">
        <f t="shared" si="0"/>
        <v>60</v>
      </c>
    </row>
    <row r="110" spans="4:9" x14ac:dyDescent="0.2">
      <c r="H110" t="s">
        <v>91</v>
      </c>
      <c r="I110" t="s">
        <v>92</v>
      </c>
    </row>
    <row r="111" spans="4:9" x14ac:dyDescent="0.2">
      <c r="H111">
        <v>1</v>
      </c>
      <c r="I111">
        <v>2</v>
      </c>
    </row>
    <row r="112" spans="4:9" x14ac:dyDescent="0.2">
      <c r="H112">
        <v>2</v>
      </c>
      <c r="I112">
        <v>4</v>
      </c>
    </row>
    <row r="113" spans="4:9" x14ac:dyDescent="0.2">
      <c r="H113">
        <v>3</v>
      </c>
      <c r="I113">
        <v>6</v>
      </c>
    </row>
    <row r="114" spans="4:9" x14ac:dyDescent="0.2">
      <c r="H114">
        <v>4</v>
      </c>
      <c r="I114">
        <v>8</v>
      </c>
    </row>
    <row r="115" spans="4:9" x14ac:dyDescent="0.2">
      <c r="H115">
        <v>5</v>
      </c>
      <c r="I115">
        <v>10</v>
      </c>
    </row>
    <row r="118" spans="4:9" x14ac:dyDescent="0.2">
      <c r="D118">
        <f>SUM(MyTable[Qty])</f>
        <v>15</v>
      </c>
    </row>
    <row r="119" spans="4:9" x14ac:dyDescent="0.2">
      <c r="D119">
        <f>SUM(MyTable[Price])</f>
        <v>30</v>
      </c>
    </row>
    <row r="120" spans="4:9" x14ac:dyDescent="0.2">
      <c r="D120">
        <f>SUMPRODUCT(MyTable[Qty],MyTable[Price])</f>
        <v>110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</vt:lpstr>
      <vt:lpstr>Sheet Space</vt:lpstr>
      <vt:lpstr>Formulas</vt:lpstr>
      <vt:lpstr>MyCell</vt:lpstr>
      <vt:lpstr>MyName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pyxlsb tests</dc:creator>
  <cp:lastModifiedBy>pyxlsb tests</cp:lastModifiedBy>
  <dcterms:created xsi:type="dcterms:W3CDTF">2026-08-12T02:09:21Z</dcterms:created>
  <dcterms:modified xsi:type="dcterms:W3CDTF">2026-08-12T02:20:18Z</dcterms:modified>
</cp:coreProperties>
</file>